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Drive-D\Complete DA Course\Microsoft Excel\Lect-1.9\Index &amp; Match functions\"/>
    </mc:Choice>
  </mc:AlternateContent>
  <xr:revisionPtr revIDLastSave="0" documentId="13_ncr:1_{8C684607-D249-451C-8D10-4DAF3D99F940}" xr6:coauthVersionLast="47" xr6:coauthVersionMax="47" xr10:uidLastSave="{00000000-0000-0000-0000-000000000000}"/>
  <bookViews>
    <workbookView xWindow="-108" yWindow="-108" windowWidth="23256" windowHeight="12456" tabRatio="848" xr2:uid="{00000000-000D-0000-FFFF-FFFF00000000}"/>
  </bookViews>
  <sheets>
    <sheet name="INDEX MATCH Master Emp List" sheetId="5" r:id="rId1"/>
    <sheet name="INDEX Functions" sheetId="34" r:id="rId2"/>
    <sheet name="MATCH Functions" sheetId="36" r:id="rId3"/>
    <sheet name="Combined INDEX MATCH" sheetId="37" r:id="rId4"/>
  </sheets>
  <definedNames>
    <definedName name="_xlnm._FilterDatabase" localSheetId="0" hidden="1">'INDEX MATCH Master Emp List'!$A$1:$I$38</definedName>
    <definedName name="Gross_Margin">#REF!</definedName>
    <definedName name="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34" l="1"/>
  <c r="F4" i="37"/>
  <c r="D4" i="36"/>
  <c r="C4" i="34"/>
</calcChain>
</file>

<file path=xl/sharedStrings.xml><?xml version="1.0" encoding="utf-8"?>
<sst xmlns="http://schemas.openxmlformats.org/spreadsheetml/2006/main" count="212" uniqueCount="141">
  <si>
    <t>Emp ID</t>
  </si>
  <si>
    <t>Last Name</t>
  </si>
  <si>
    <t>First Name</t>
  </si>
  <si>
    <t>Dept</t>
  </si>
  <si>
    <t>E-mail</t>
  </si>
  <si>
    <t>Phone Ext</t>
  </si>
  <si>
    <t>Smith</t>
  </si>
  <si>
    <t>AT</t>
  </si>
  <si>
    <t>Joe</t>
  </si>
  <si>
    <t>Kane</t>
  </si>
  <si>
    <t>AD</t>
  </si>
  <si>
    <t>AC</t>
  </si>
  <si>
    <t>HR</t>
  </si>
  <si>
    <t>MK</t>
  </si>
  <si>
    <t>MF</t>
  </si>
  <si>
    <t>Atherly</t>
  </si>
  <si>
    <t>Katherine</t>
  </si>
  <si>
    <t>kathya</t>
  </si>
  <si>
    <t>Pay Rate</t>
  </si>
  <si>
    <t>INDEX &amp; MATCH</t>
  </si>
  <si>
    <t>INDEX</t>
  </si>
  <si>
    <t>MATCH</t>
  </si>
  <si>
    <t>RETURNS VALUE AT A SPECIFIC POSITION</t>
  </si>
  <si>
    <t>RETURNS NUMERIC POSITION OF A VALUE</t>
  </si>
  <si>
    <t>EMP ID</t>
  </si>
  <si>
    <t>Kohli</t>
  </si>
  <si>
    <t>Virat</t>
  </si>
  <si>
    <t>Sharma</t>
  </si>
  <si>
    <t>Rohit</t>
  </si>
  <si>
    <t>Root</t>
  </si>
  <si>
    <t>Williamson</t>
  </si>
  <si>
    <t>Babar</t>
  </si>
  <si>
    <t>Azam</t>
  </si>
  <si>
    <t>Steve</t>
  </si>
  <si>
    <t>Cummins</t>
  </si>
  <si>
    <t>Pat</t>
  </si>
  <si>
    <t>Stokes</t>
  </si>
  <si>
    <t>Ben</t>
  </si>
  <si>
    <t>Warner</t>
  </si>
  <si>
    <t>David</t>
  </si>
  <si>
    <t>De Villiers</t>
  </si>
  <si>
    <t>AB</t>
  </si>
  <si>
    <t>Afridi</t>
  </si>
  <si>
    <t>Shaheen</t>
  </si>
  <si>
    <t>Gayle</t>
  </si>
  <si>
    <t>Chris</t>
  </si>
  <si>
    <t>Pant</t>
  </si>
  <si>
    <t>Rishabh</t>
  </si>
  <si>
    <t>Rahul</t>
  </si>
  <si>
    <t>KL</t>
  </si>
  <si>
    <t>Bumrah</t>
  </si>
  <si>
    <t>Jasprit</t>
  </si>
  <si>
    <t>Anderson</t>
  </si>
  <si>
    <t>James</t>
  </si>
  <si>
    <t>Boult</t>
  </si>
  <si>
    <t>Trent</t>
  </si>
  <si>
    <t>Malinga</t>
  </si>
  <si>
    <t>Lasith</t>
  </si>
  <si>
    <t>Akram</t>
  </si>
  <si>
    <t>Wasim</t>
  </si>
  <si>
    <t>Tendulkar</t>
  </si>
  <si>
    <t>Sachin</t>
  </si>
  <si>
    <t>Dhoni</t>
  </si>
  <si>
    <t>MS</t>
  </si>
  <si>
    <t>Ponting</t>
  </si>
  <si>
    <t>Ricky</t>
  </si>
  <si>
    <t>Dravid</t>
  </si>
  <si>
    <t>Younis</t>
  </si>
  <si>
    <t>Inzamam</t>
  </si>
  <si>
    <t>Kallis</t>
  </si>
  <si>
    <t>Jacques</t>
  </si>
  <si>
    <t>Lee</t>
  </si>
  <si>
    <t>Brett</t>
  </si>
  <si>
    <t>Hussey</t>
  </si>
  <si>
    <t>Michael</t>
  </si>
  <si>
    <t>Sehwag</t>
  </si>
  <si>
    <t>Virender</t>
  </si>
  <si>
    <t>Sangakkara</t>
  </si>
  <si>
    <t>Kumar</t>
  </si>
  <si>
    <t>Jayawardene</t>
  </si>
  <si>
    <t>Mahela</t>
  </si>
  <si>
    <t>Taylor</t>
  </si>
  <si>
    <t>Ross</t>
  </si>
  <si>
    <t>McCullum</t>
  </si>
  <si>
    <t>Brendon</t>
  </si>
  <si>
    <t>Pollard</t>
  </si>
  <si>
    <t>Kieron</t>
  </si>
  <si>
    <t>Russell</t>
  </si>
  <si>
    <t>Andre</t>
  </si>
  <si>
    <t>Nabi</t>
  </si>
  <si>
    <t>Mohammad</t>
  </si>
  <si>
    <t>Shakib</t>
  </si>
  <si>
    <t>Al-Hasan</t>
  </si>
  <si>
    <t>viratk</t>
  </si>
  <si>
    <t>rohits</t>
  </si>
  <si>
    <t>joer</t>
  </si>
  <si>
    <t>kanew</t>
  </si>
  <si>
    <t>babara</t>
  </si>
  <si>
    <t>steves</t>
  </si>
  <si>
    <t>patc</t>
  </si>
  <si>
    <t>bens</t>
  </si>
  <si>
    <t>davidw</t>
  </si>
  <si>
    <t>abdv</t>
  </si>
  <si>
    <t>shaheena</t>
  </si>
  <si>
    <t>chrisg</t>
  </si>
  <si>
    <t>rishabhp</t>
  </si>
  <si>
    <t>klrahul</t>
  </si>
  <si>
    <t>jaspritb</t>
  </si>
  <si>
    <t>jamesa</t>
  </si>
  <si>
    <t>trentb</t>
  </si>
  <si>
    <t>lasithm</t>
  </si>
  <si>
    <t>wasima</t>
  </si>
  <si>
    <t>sachint</t>
  </si>
  <si>
    <t>msdhoni</t>
  </si>
  <si>
    <t>rickyp</t>
  </si>
  <si>
    <t>rahuld</t>
  </si>
  <si>
    <t>inzamamy</t>
  </si>
  <si>
    <t>jacquesk</t>
  </si>
  <si>
    <t>brettl</t>
  </si>
  <si>
    <t>michaelh</t>
  </si>
  <si>
    <t>virenders</t>
  </si>
  <si>
    <t>kumars</t>
  </si>
  <si>
    <t>mahelaj</t>
  </si>
  <si>
    <t>rosst</t>
  </si>
  <si>
    <t>brendonm</t>
  </si>
  <si>
    <t>kieronp</t>
  </si>
  <si>
    <t>andrer</t>
  </si>
  <si>
    <t>mohammadn</t>
  </si>
  <si>
    <t>shakibh</t>
  </si>
  <si>
    <t>Country</t>
  </si>
  <si>
    <t>India</t>
  </si>
  <si>
    <t>England</t>
  </si>
  <si>
    <t>New Zealand</t>
  </si>
  <si>
    <t>Pakistan</t>
  </si>
  <si>
    <t>Australia</t>
  </si>
  <si>
    <t>South Africa</t>
  </si>
  <si>
    <t>West Indies</t>
  </si>
  <si>
    <t>Sri Lanka</t>
  </si>
  <si>
    <t>Afghanistan</t>
  </si>
  <si>
    <t>Bangladesh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</si>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</sst>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dd\-mmm\-yy"/>
  </numFmts>
  <fonts count="6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164" fontId="0" fillId="0" borderId="0" xfId="1" applyFont="1"/>
    <xf numFmtId="0" fontId="3" fillId="3" borderId="3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/>
    </xf>
    <xf numFmtId="0" fontId="0" fillId="0" borderId="2" xfId="0" applyBorder="1"/>
    <xf numFmtId="0" fontId="1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3" fillId="5" borderId="4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2" fillId="0" borderId="7" xfId="2" applyBorder="1" applyAlignment="1">
      <alignment horizontal="center" vertical="center" wrapText="1"/>
    </xf>
    <xf numFmtId="0" fontId="2" fillId="0" borderId="8" xfId="2" applyBorder="1" applyAlignment="1">
      <alignment horizontal="center" vertical="center" wrapText="1"/>
    </xf>
    <xf numFmtId="0" fontId="2" fillId="0" borderId="9" xfId="2" applyBorder="1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6" xfId="2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5" fontId="2" fillId="0" borderId="1" xfId="2" applyNumberFormat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/>
    </xf>
  </cellXfs>
  <cellStyles count="7">
    <cellStyle name="Currency" xfId="1" builtinId="4"/>
    <cellStyle name="Normal" xfId="0" builtinId="0"/>
    <cellStyle name="Normal 2" xfId="3" xr:uid="{00000000-0005-0000-0000-000004000000}"/>
    <cellStyle name="Normal 2 2" xfId="6" xr:uid="{300E19E0-CC7E-484A-90B5-31495FBC9C59}"/>
    <cellStyle name="Normal 3" xfId="4" xr:uid="{00000000-0005-0000-0000-000005000000}"/>
    <cellStyle name="Normal_Sheet1_1" xfId="2" xr:uid="{00000000-0005-0000-0000-000008000000}"/>
    <cellStyle name="Percent 2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tabSelected="1" zoomScale="115" zoomScaleNormal="115" workbookViewId="0">
      <selection activeCell="H6" sqref="H6"/>
    </sheetView>
  </sheetViews>
  <sheetFormatPr defaultRowHeight="14.25" customHeight="1" x14ac:dyDescent="0.25"/>
  <cols>
    <col min="1" max="8" width="14.21875" style="1" customWidth="1"/>
    <col min="9" max="9" width="14.21875" customWidth="1"/>
  </cols>
  <sheetData>
    <row r="1" spans="1:9" ht="24.75" customHeight="1" x14ac:dyDescent="0.25">
      <c r="A1" s="4" t="s">
        <v>1</v>
      </c>
      <c r="B1" s="4" t="s">
        <v>2</v>
      </c>
      <c r="C1" s="4" t="s">
        <v>3</v>
      </c>
      <c r="D1" s="4" t="s">
        <v>0</v>
      </c>
      <c r="E1" s="4" t="s">
        <v>4</v>
      </c>
      <c r="F1" s="4" t="s">
        <v>5</v>
      </c>
      <c r="G1" s="4" t="s">
        <v>129</v>
      </c>
      <c r="H1" s="27" t="s">
        <v>140</v>
      </c>
      <c r="I1" s="4" t="s">
        <v>18</v>
      </c>
    </row>
    <row r="2" spans="1:9" ht="14.25" customHeight="1" x14ac:dyDescent="0.25">
      <c r="A2" s="2" t="s">
        <v>25</v>
      </c>
      <c r="B2" s="2" t="s">
        <v>26</v>
      </c>
      <c r="C2" s="2" t="s">
        <v>7</v>
      </c>
      <c r="D2" s="2">
        <v>1054</v>
      </c>
      <c r="E2" s="2" t="s">
        <v>93</v>
      </c>
      <c r="F2" s="2">
        <v>148</v>
      </c>
      <c r="G2" s="2" t="s">
        <v>130</v>
      </c>
      <c r="H2" s="26">
        <v>32452</v>
      </c>
      <c r="I2" s="3">
        <v>11.25</v>
      </c>
    </row>
    <row r="3" spans="1:9" ht="14.25" customHeight="1" thickBot="1" x14ac:dyDescent="0.3">
      <c r="A3" s="2" t="s">
        <v>27</v>
      </c>
      <c r="B3" s="15" t="s">
        <v>28</v>
      </c>
      <c r="C3" s="2" t="s">
        <v>7</v>
      </c>
      <c r="D3" s="2">
        <v>1056</v>
      </c>
      <c r="E3" s="2" t="s">
        <v>94</v>
      </c>
      <c r="F3" s="2">
        <v>121</v>
      </c>
      <c r="G3" s="2" t="s">
        <v>130</v>
      </c>
      <c r="H3" s="26">
        <v>31897</v>
      </c>
      <c r="I3" s="3">
        <v>12.25</v>
      </c>
    </row>
    <row r="4" spans="1:9" ht="14.25" customHeight="1" thickBot="1" x14ac:dyDescent="0.3">
      <c r="A4" s="13" t="s">
        <v>29</v>
      </c>
      <c r="B4" s="17" t="s">
        <v>8</v>
      </c>
      <c r="C4" s="14" t="s">
        <v>7</v>
      </c>
      <c r="D4" s="2">
        <v>1067</v>
      </c>
      <c r="E4" s="2" t="s">
        <v>95</v>
      </c>
      <c r="F4" s="2">
        <v>123</v>
      </c>
      <c r="G4" s="2" t="s">
        <v>131</v>
      </c>
      <c r="H4" s="26">
        <v>33237</v>
      </c>
      <c r="I4" s="3">
        <v>14.55</v>
      </c>
    </row>
    <row r="5" spans="1:9" ht="14.25" customHeight="1" x14ac:dyDescent="0.25">
      <c r="A5" s="2" t="s">
        <v>30</v>
      </c>
      <c r="B5" s="16" t="s">
        <v>9</v>
      </c>
      <c r="C5" s="2" t="s">
        <v>10</v>
      </c>
      <c r="D5" s="2">
        <v>1075</v>
      </c>
      <c r="E5" s="2" t="s">
        <v>96</v>
      </c>
      <c r="F5" s="2">
        <v>126</v>
      </c>
      <c r="G5" s="2" t="s">
        <v>132</v>
      </c>
      <c r="H5" s="26">
        <v>33093</v>
      </c>
      <c r="I5" s="3">
        <v>11.25</v>
      </c>
    </row>
    <row r="6" spans="1:9" ht="14.25" customHeight="1" x14ac:dyDescent="0.25">
      <c r="A6" s="2" t="s">
        <v>31</v>
      </c>
      <c r="B6" s="2" t="s">
        <v>32</v>
      </c>
      <c r="C6" s="2" t="s">
        <v>11</v>
      </c>
      <c r="D6" s="2">
        <v>1078</v>
      </c>
      <c r="E6" s="2" t="s">
        <v>97</v>
      </c>
      <c r="F6" s="2">
        <v>101</v>
      </c>
      <c r="G6" s="2" t="s">
        <v>133</v>
      </c>
      <c r="H6" s="26">
        <v>34622</v>
      </c>
      <c r="I6" s="3">
        <v>10.199999999999999</v>
      </c>
    </row>
    <row r="7" spans="1:9" ht="14.25" customHeight="1" x14ac:dyDescent="0.25">
      <c r="A7" s="2" t="s">
        <v>6</v>
      </c>
      <c r="B7" s="2" t="s">
        <v>33</v>
      </c>
      <c r="C7" s="2" t="s">
        <v>10</v>
      </c>
      <c r="D7" s="2">
        <v>1152</v>
      </c>
      <c r="E7" s="2" t="s">
        <v>98</v>
      </c>
      <c r="F7" s="2">
        <v>118</v>
      </c>
      <c r="G7" s="2" t="s">
        <v>134</v>
      </c>
      <c r="H7" s="26">
        <v>32661</v>
      </c>
      <c r="I7" s="3">
        <v>12.25</v>
      </c>
    </row>
    <row r="8" spans="1:9" ht="14.25" customHeight="1" x14ac:dyDescent="0.25">
      <c r="A8" s="2" t="s">
        <v>34</v>
      </c>
      <c r="B8" s="2" t="s">
        <v>35</v>
      </c>
      <c r="C8" s="2" t="s">
        <v>12</v>
      </c>
      <c r="D8" s="2">
        <v>1196</v>
      </c>
      <c r="E8" s="2" t="s">
        <v>99</v>
      </c>
      <c r="F8" s="2">
        <v>289</v>
      </c>
      <c r="G8" s="2" t="s">
        <v>134</v>
      </c>
      <c r="H8" s="26">
        <v>34097</v>
      </c>
      <c r="I8" s="3">
        <v>9.9499999999999993</v>
      </c>
    </row>
    <row r="9" spans="1:9" ht="14.25" customHeight="1" x14ac:dyDescent="0.25">
      <c r="A9" s="2" t="s">
        <v>36</v>
      </c>
      <c r="B9" s="2" t="s">
        <v>37</v>
      </c>
      <c r="C9" s="2" t="s">
        <v>13</v>
      </c>
      <c r="D9" s="2">
        <v>1284</v>
      </c>
      <c r="E9" s="2" t="s">
        <v>100</v>
      </c>
      <c r="F9" s="2">
        <v>124</v>
      </c>
      <c r="G9" s="2" t="s">
        <v>131</v>
      </c>
      <c r="H9" s="26">
        <v>33393</v>
      </c>
      <c r="I9" s="3">
        <v>12.3</v>
      </c>
    </row>
    <row r="10" spans="1:9" ht="14.25" customHeight="1" x14ac:dyDescent="0.25">
      <c r="A10" s="2" t="s">
        <v>38</v>
      </c>
      <c r="B10" s="2" t="s">
        <v>39</v>
      </c>
      <c r="C10" s="2" t="s">
        <v>10</v>
      </c>
      <c r="D10" s="2">
        <v>1290</v>
      </c>
      <c r="E10" s="2" t="s">
        <v>101</v>
      </c>
      <c r="F10" s="2">
        <v>113</v>
      </c>
      <c r="G10" s="2" t="s">
        <v>134</v>
      </c>
      <c r="H10" s="26">
        <v>31712</v>
      </c>
      <c r="I10" s="3">
        <v>13.25</v>
      </c>
    </row>
    <row r="11" spans="1:9" ht="14.25" customHeight="1" x14ac:dyDescent="0.25">
      <c r="A11" s="2" t="s">
        <v>40</v>
      </c>
      <c r="B11" s="2" t="s">
        <v>41</v>
      </c>
      <c r="C11" s="2" t="s">
        <v>12</v>
      </c>
      <c r="D11" s="2">
        <v>1293</v>
      </c>
      <c r="E11" s="2" t="s">
        <v>102</v>
      </c>
      <c r="F11" s="2">
        <v>205</v>
      </c>
      <c r="G11" s="2" t="s">
        <v>135</v>
      </c>
      <c r="H11" s="26">
        <v>30729</v>
      </c>
      <c r="I11" s="3">
        <v>10.199999999999999</v>
      </c>
    </row>
    <row r="12" spans="1:9" ht="14.25" customHeight="1" x14ac:dyDescent="0.25">
      <c r="A12" s="2" t="s">
        <v>42</v>
      </c>
      <c r="B12" s="2" t="s">
        <v>43</v>
      </c>
      <c r="C12" s="2" t="s">
        <v>14</v>
      </c>
      <c r="D12" s="2">
        <v>1299</v>
      </c>
      <c r="E12" s="2" t="s">
        <v>103</v>
      </c>
      <c r="F12" s="2">
        <v>127</v>
      </c>
      <c r="G12" s="2" t="s">
        <v>133</v>
      </c>
      <c r="H12" s="26">
        <v>36622</v>
      </c>
      <c r="I12" s="3">
        <v>12.2</v>
      </c>
    </row>
    <row r="13" spans="1:9" ht="14.25" customHeight="1" x14ac:dyDescent="0.25">
      <c r="A13" s="2" t="s">
        <v>44</v>
      </c>
      <c r="B13" s="2" t="s">
        <v>45</v>
      </c>
      <c r="C13" s="2" t="s">
        <v>13</v>
      </c>
      <c r="D13" s="2">
        <v>1302</v>
      </c>
      <c r="E13" s="2" t="s">
        <v>104</v>
      </c>
      <c r="F13" s="2">
        <v>139</v>
      </c>
      <c r="G13" s="2" t="s">
        <v>136</v>
      </c>
      <c r="H13" s="26">
        <v>29119</v>
      </c>
      <c r="I13" s="3">
        <v>14.25</v>
      </c>
    </row>
    <row r="14" spans="1:9" ht="14.25" customHeight="1" x14ac:dyDescent="0.25">
      <c r="A14" s="2" t="s">
        <v>46</v>
      </c>
      <c r="B14" s="2" t="s">
        <v>47</v>
      </c>
      <c r="C14" s="2" t="s">
        <v>14</v>
      </c>
      <c r="D14" s="2">
        <v>1310</v>
      </c>
      <c r="E14" s="2" t="s">
        <v>105</v>
      </c>
      <c r="F14" s="2">
        <v>137</v>
      </c>
      <c r="G14" s="2" t="s">
        <v>130</v>
      </c>
      <c r="H14" s="26">
        <v>35707</v>
      </c>
      <c r="I14" s="3">
        <v>11.5</v>
      </c>
    </row>
    <row r="15" spans="1:9" ht="14.25" customHeight="1" x14ac:dyDescent="0.25">
      <c r="A15" s="2" t="s">
        <v>48</v>
      </c>
      <c r="B15" s="2" t="s">
        <v>49</v>
      </c>
      <c r="C15" s="2" t="s">
        <v>11</v>
      </c>
      <c r="D15" s="2">
        <v>1329</v>
      </c>
      <c r="E15" s="2" t="s">
        <v>106</v>
      </c>
      <c r="F15" s="2">
        <v>151</v>
      </c>
      <c r="G15" s="2" t="s">
        <v>130</v>
      </c>
      <c r="H15" s="26">
        <v>33712</v>
      </c>
      <c r="I15" s="3">
        <v>10.35</v>
      </c>
    </row>
    <row r="16" spans="1:9" ht="14.25" customHeight="1" x14ac:dyDescent="0.25">
      <c r="A16" s="2" t="s">
        <v>50</v>
      </c>
      <c r="B16" s="2" t="s">
        <v>51</v>
      </c>
      <c r="C16" s="2" t="s">
        <v>12</v>
      </c>
      <c r="D16" s="2">
        <v>1333</v>
      </c>
      <c r="E16" s="2" t="s">
        <v>107</v>
      </c>
      <c r="F16" s="2">
        <v>122</v>
      </c>
      <c r="G16" s="2" t="s">
        <v>130</v>
      </c>
      <c r="H16" s="26">
        <v>34309</v>
      </c>
      <c r="I16" s="3">
        <v>10.15</v>
      </c>
    </row>
    <row r="17" spans="1:9" ht="14.25" customHeight="1" x14ac:dyDescent="0.25">
      <c r="A17" s="2" t="s">
        <v>52</v>
      </c>
      <c r="B17" s="2" t="s">
        <v>53</v>
      </c>
      <c r="C17" s="2" t="s">
        <v>10</v>
      </c>
      <c r="D17" s="2">
        <v>1368</v>
      </c>
      <c r="E17" s="2" t="s">
        <v>108</v>
      </c>
      <c r="F17" s="2">
        <v>132</v>
      </c>
      <c r="G17" s="2" t="s">
        <v>131</v>
      </c>
      <c r="H17" s="26">
        <v>30162</v>
      </c>
      <c r="I17" s="3">
        <v>12.25</v>
      </c>
    </row>
    <row r="18" spans="1:9" ht="14.25" customHeight="1" x14ac:dyDescent="0.25">
      <c r="A18" s="2" t="s">
        <v>54</v>
      </c>
      <c r="B18" s="2" t="s">
        <v>55</v>
      </c>
      <c r="C18" s="2" t="s">
        <v>7</v>
      </c>
      <c r="D18" s="2">
        <v>1509</v>
      </c>
      <c r="E18" s="2" t="s">
        <v>109</v>
      </c>
      <c r="F18" s="2">
        <v>135</v>
      </c>
      <c r="G18" s="2" t="s">
        <v>132</v>
      </c>
      <c r="H18" s="26">
        <v>32711</v>
      </c>
      <c r="I18" s="3">
        <v>13.25</v>
      </c>
    </row>
    <row r="19" spans="1:9" ht="14.25" customHeight="1" x14ac:dyDescent="0.25">
      <c r="A19" s="2" t="s">
        <v>56</v>
      </c>
      <c r="B19" s="2" t="s">
        <v>57</v>
      </c>
      <c r="C19" s="2" t="s">
        <v>11</v>
      </c>
      <c r="D19" s="2">
        <v>1516</v>
      </c>
      <c r="E19" s="2" t="s">
        <v>110</v>
      </c>
      <c r="F19" s="2">
        <v>105</v>
      </c>
      <c r="G19" s="2" t="s">
        <v>137</v>
      </c>
      <c r="H19" s="26">
        <v>30556</v>
      </c>
      <c r="I19" s="3">
        <v>9.5</v>
      </c>
    </row>
    <row r="20" spans="1:9" ht="14.25" customHeight="1" x14ac:dyDescent="0.25">
      <c r="A20" s="2" t="s">
        <v>58</v>
      </c>
      <c r="B20" s="2" t="s">
        <v>59</v>
      </c>
      <c r="C20" s="2" t="s">
        <v>13</v>
      </c>
      <c r="D20" s="2">
        <v>1529</v>
      </c>
      <c r="E20" s="2" t="s">
        <v>111</v>
      </c>
      <c r="F20" s="2">
        <v>129</v>
      </c>
      <c r="G20" s="2" t="s">
        <v>133</v>
      </c>
      <c r="H20" s="26">
        <v>24261</v>
      </c>
      <c r="I20" s="3">
        <v>11.3</v>
      </c>
    </row>
    <row r="21" spans="1:9" ht="14.25" customHeight="1" x14ac:dyDescent="0.25">
      <c r="A21" s="2" t="s">
        <v>60</v>
      </c>
      <c r="B21" s="2" t="s">
        <v>61</v>
      </c>
      <c r="C21" s="2" t="s">
        <v>14</v>
      </c>
      <c r="D21" s="2">
        <v>1656</v>
      </c>
      <c r="E21" s="2" t="s">
        <v>112</v>
      </c>
      <c r="F21" s="2">
        <v>149</v>
      </c>
      <c r="G21" s="2" t="s">
        <v>130</v>
      </c>
      <c r="H21" s="26">
        <v>26778</v>
      </c>
      <c r="I21" s="3">
        <v>12.35</v>
      </c>
    </row>
    <row r="22" spans="1:9" ht="14.25" customHeight="1" x14ac:dyDescent="0.25">
      <c r="A22" s="2" t="s">
        <v>62</v>
      </c>
      <c r="B22" s="2" t="s">
        <v>63</v>
      </c>
      <c r="C22" s="2" t="s">
        <v>14</v>
      </c>
      <c r="D22" s="2">
        <v>1672</v>
      </c>
      <c r="E22" s="2" t="s">
        <v>113</v>
      </c>
      <c r="F22" s="2">
        <v>114</v>
      </c>
      <c r="G22" s="2" t="s">
        <v>130</v>
      </c>
      <c r="H22" s="26">
        <v>29774</v>
      </c>
      <c r="I22" s="3">
        <v>11.9</v>
      </c>
    </row>
    <row r="23" spans="1:9" ht="14.25" customHeight="1" x14ac:dyDescent="0.25">
      <c r="A23" s="2" t="s">
        <v>64</v>
      </c>
      <c r="B23" s="2" t="s">
        <v>65</v>
      </c>
      <c r="C23" s="2" t="s">
        <v>10</v>
      </c>
      <c r="D23" s="2">
        <v>1673</v>
      </c>
      <c r="E23" s="2" t="s">
        <v>114</v>
      </c>
      <c r="F23" s="2">
        <v>112</v>
      </c>
      <c r="G23" s="2" t="s">
        <v>134</v>
      </c>
      <c r="H23" s="26">
        <v>27382</v>
      </c>
      <c r="I23" s="3">
        <v>11.85</v>
      </c>
    </row>
    <row r="24" spans="1:9" ht="14.25" customHeight="1" x14ac:dyDescent="0.25">
      <c r="A24" s="2" t="s">
        <v>66</v>
      </c>
      <c r="B24" s="2" t="s">
        <v>48</v>
      </c>
      <c r="C24" s="2" t="s">
        <v>13</v>
      </c>
      <c r="D24" s="2">
        <v>1676</v>
      </c>
      <c r="E24" s="2" t="s">
        <v>115</v>
      </c>
      <c r="F24" s="2">
        <v>115</v>
      </c>
      <c r="G24" s="2" t="s">
        <v>130</v>
      </c>
      <c r="H24" s="26">
        <v>26675</v>
      </c>
      <c r="I24" s="3">
        <v>10.75</v>
      </c>
    </row>
    <row r="25" spans="1:9" ht="14.25" customHeight="1" x14ac:dyDescent="0.25">
      <c r="A25" s="2" t="s">
        <v>67</v>
      </c>
      <c r="B25" s="2" t="s">
        <v>68</v>
      </c>
      <c r="C25" s="2" t="s">
        <v>12</v>
      </c>
      <c r="D25" s="2">
        <v>1721</v>
      </c>
      <c r="E25" s="2" t="s">
        <v>116</v>
      </c>
      <c r="F25" s="2">
        <v>102</v>
      </c>
      <c r="G25" s="2" t="s">
        <v>133</v>
      </c>
      <c r="H25" s="26">
        <v>25630</v>
      </c>
      <c r="I25" s="3">
        <v>9.75</v>
      </c>
    </row>
    <row r="26" spans="1:9" ht="14.25" customHeight="1" x14ac:dyDescent="0.25">
      <c r="A26" s="2" t="s">
        <v>69</v>
      </c>
      <c r="B26" s="2" t="s">
        <v>70</v>
      </c>
      <c r="C26" s="2" t="s">
        <v>13</v>
      </c>
      <c r="D26" s="2">
        <v>1723</v>
      </c>
      <c r="E26" s="2" t="s">
        <v>117</v>
      </c>
      <c r="F26" s="2">
        <v>145</v>
      </c>
      <c r="G26" s="2" t="s">
        <v>135</v>
      </c>
      <c r="H26" s="26">
        <v>27683</v>
      </c>
      <c r="I26" s="3">
        <v>13.95</v>
      </c>
    </row>
    <row r="27" spans="1:9" ht="14.25" customHeight="1" x14ac:dyDescent="0.25">
      <c r="A27" s="2" t="s">
        <v>71</v>
      </c>
      <c r="B27" s="2" t="s">
        <v>72</v>
      </c>
      <c r="C27" s="2" t="s">
        <v>11</v>
      </c>
      <c r="D27" s="2">
        <v>1758</v>
      </c>
      <c r="E27" s="2" t="s">
        <v>118</v>
      </c>
      <c r="F27" s="2">
        <v>107</v>
      </c>
      <c r="G27" s="2" t="s">
        <v>134</v>
      </c>
      <c r="H27" s="26">
        <v>28072</v>
      </c>
      <c r="I27" s="3">
        <v>11.2</v>
      </c>
    </row>
    <row r="28" spans="1:9" ht="14.25" customHeight="1" x14ac:dyDescent="0.25">
      <c r="A28" s="2" t="s">
        <v>73</v>
      </c>
      <c r="B28" s="2" t="s">
        <v>74</v>
      </c>
      <c r="C28" s="2" t="s">
        <v>7</v>
      </c>
      <c r="D28" s="2">
        <v>1792</v>
      </c>
      <c r="E28" s="2" t="s">
        <v>119</v>
      </c>
      <c r="F28" s="2">
        <v>111</v>
      </c>
      <c r="G28" s="2" t="s">
        <v>134</v>
      </c>
      <c r="H28" s="26">
        <v>28882</v>
      </c>
      <c r="I28" s="3">
        <v>10.3</v>
      </c>
    </row>
    <row r="29" spans="1:9" ht="14.25" customHeight="1" x14ac:dyDescent="0.25">
      <c r="A29" s="2" t="s">
        <v>75</v>
      </c>
      <c r="B29" s="2" t="s">
        <v>76</v>
      </c>
      <c r="C29" s="2" t="s">
        <v>12</v>
      </c>
      <c r="D29" s="2">
        <v>1814</v>
      </c>
      <c r="E29" s="2" t="s">
        <v>120</v>
      </c>
      <c r="F29" s="2">
        <v>103</v>
      </c>
      <c r="G29" s="2" t="s">
        <v>130</v>
      </c>
      <c r="H29" s="26">
        <v>28783</v>
      </c>
      <c r="I29" s="3">
        <v>12.25</v>
      </c>
    </row>
    <row r="30" spans="1:9" ht="14.25" customHeight="1" x14ac:dyDescent="0.25">
      <c r="A30" s="2" t="s">
        <v>77</v>
      </c>
      <c r="B30" s="2" t="s">
        <v>78</v>
      </c>
      <c r="C30" s="2" t="s">
        <v>7</v>
      </c>
      <c r="D30" s="2">
        <v>1908</v>
      </c>
      <c r="E30" s="2" t="s">
        <v>121</v>
      </c>
      <c r="F30" s="2">
        <v>152</v>
      </c>
      <c r="G30" s="2" t="s">
        <v>137</v>
      </c>
      <c r="H30" s="26">
        <v>28425</v>
      </c>
      <c r="I30" s="3">
        <v>10.25</v>
      </c>
    </row>
    <row r="31" spans="1:9" ht="14.25" customHeight="1" x14ac:dyDescent="0.25">
      <c r="A31" s="2" t="s">
        <v>79</v>
      </c>
      <c r="B31" s="2" t="s">
        <v>80</v>
      </c>
      <c r="C31" s="2" t="s">
        <v>11</v>
      </c>
      <c r="D31" s="2">
        <v>1931</v>
      </c>
      <c r="E31" s="2" t="s">
        <v>122</v>
      </c>
      <c r="F31" s="2">
        <v>110</v>
      </c>
      <c r="G31" s="2" t="s">
        <v>137</v>
      </c>
      <c r="H31" s="26">
        <v>28272</v>
      </c>
      <c r="I31" s="3">
        <v>9.85</v>
      </c>
    </row>
    <row r="32" spans="1:9" ht="14.25" customHeight="1" x14ac:dyDescent="0.25">
      <c r="A32" s="2" t="s">
        <v>81</v>
      </c>
      <c r="B32" s="2" t="s">
        <v>82</v>
      </c>
      <c r="C32" s="2" t="s">
        <v>14</v>
      </c>
      <c r="D32" s="2">
        <v>1960</v>
      </c>
      <c r="E32" s="2" t="s">
        <v>123</v>
      </c>
      <c r="F32" s="2">
        <v>150</v>
      </c>
      <c r="G32" s="2" t="s">
        <v>132</v>
      </c>
      <c r="H32" s="26">
        <v>30749</v>
      </c>
      <c r="I32" s="3">
        <v>11.65</v>
      </c>
    </row>
    <row r="33" spans="1:9" ht="14.25" customHeight="1" x14ac:dyDescent="0.25">
      <c r="A33" s="2" t="s">
        <v>83</v>
      </c>
      <c r="B33" s="2" t="s">
        <v>84</v>
      </c>
      <c r="C33" s="2" t="s">
        <v>11</v>
      </c>
      <c r="D33" s="2">
        <v>1964</v>
      </c>
      <c r="E33" s="2" t="s">
        <v>124</v>
      </c>
      <c r="F33" s="2">
        <v>108</v>
      </c>
      <c r="G33" s="2" t="s">
        <v>132</v>
      </c>
      <c r="H33" s="26">
        <v>29856</v>
      </c>
      <c r="I33" s="3">
        <v>9.25</v>
      </c>
    </row>
    <row r="34" spans="1:9" ht="14.25" customHeight="1" x14ac:dyDescent="0.25">
      <c r="A34" s="2" t="s">
        <v>85</v>
      </c>
      <c r="B34" s="2" t="s">
        <v>86</v>
      </c>
      <c r="C34" s="2" t="s">
        <v>11</v>
      </c>
      <c r="D34" s="2">
        <v>1975</v>
      </c>
      <c r="E34" s="2" t="s">
        <v>125</v>
      </c>
      <c r="F34" s="2">
        <v>125</v>
      </c>
      <c r="G34" s="2" t="s">
        <v>136</v>
      </c>
      <c r="H34" s="26">
        <v>31909</v>
      </c>
      <c r="I34" s="3">
        <v>9.25</v>
      </c>
    </row>
    <row r="35" spans="1:9" ht="14.25" customHeight="1" x14ac:dyDescent="0.25">
      <c r="A35" s="2" t="s">
        <v>87</v>
      </c>
      <c r="B35" s="2" t="s">
        <v>88</v>
      </c>
      <c r="C35" s="2" t="s">
        <v>7</v>
      </c>
      <c r="D35" s="2">
        <v>1983</v>
      </c>
      <c r="E35" s="2" t="s">
        <v>126</v>
      </c>
      <c r="F35" s="2">
        <v>154</v>
      </c>
      <c r="G35" s="2" t="s">
        <v>136</v>
      </c>
      <c r="H35" s="26">
        <v>32262</v>
      </c>
      <c r="I35" s="3">
        <v>11</v>
      </c>
    </row>
    <row r="36" spans="1:9" ht="14.25" customHeight="1" x14ac:dyDescent="0.25">
      <c r="A36" s="2" t="s">
        <v>89</v>
      </c>
      <c r="B36" s="2" t="s">
        <v>90</v>
      </c>
      <c r="C36" s="2" t="s">
        <v>14</v>
      </c>
      <c r="D36" s="2">
        <v>1990</v>
      </c>
      <c r="E36" s="2" t="s">
        <v>127</v>
      </c>
      <c r="F36" s="2">
        <v>198</v>
      </c>
      <c r="G36" s="2" t="s">
        <v>138</v>
      </c>
      <c r="H36" s="26">
        <v>31048</v>
      </c>
      <c r="I36" s="3">
        <v>10.95</v>
      </c>
    </row>
    <row r="37" spans="1:9" ht="14.25" customHeight="1" x14ac:dyDescent="0.25">
      <c r="A37" s="2" t="s">
        <v>91</v>
      </c>
      <c r="B37" s="2" t="s">
        <v>92</v>
      </c>
      <c r="C37" s="2" t="s">
        <v>7</v>
      </c>
      <c r="D37" s="2">
        <v>1995</v>
      </c>
      <c r="E37" s="2" t="s">
        <v>128</v>
      </c>
      <c r="F37" s="2">
        <v>198</v>
      </c>
      <c r="G37" s="2" t="s">
        <v>139</v>
      </c>
      <c r="H37" s="26">
        <v>31860</v>
      </c>
      <c r="I37" s="3">
        <v>11.75</v>
      </c>
    </row>
    <row r="38" spans="1:9" ht="14.25" customHeight="1" x14ac:dyDescent="0.25">
      <c r="A38" s="2" t="s">
        <v>15</v>
      </c>
      <c r="B38" s="2" t="s">
        <v>16</v>
      </c>
      <c r="C38" s="2" t="s">
        <v>12</v>
      </c>
      <c r="D38" s="2">
        <v>1999</v>
      </c>
      <c r="E38" s="2" t="s">
        <v>17</v>
      </c>
      <c r="F38" s="2">
        <v>428</v>
      </c>
      <c r="G38" s="2" t="s">
        <v>139</v>
      </c>
      <c r="H38" s="26">
        <v>35981</v>
      </c>
      <c r="I38" s="3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dimension ref="B2:L14"/>
  <sheetViews>
    <sheetView topLeftCell="A2" zoomScale="130" zoomScaleNormal="130" workbookViewId="0">
      <selection activeCell="D13" sqref="D13"/>
    </sheetView>
  </sheetViews>
  <sheetFormatPr defaultRowHeight="13.2" x14ac:dyDescent="0.25"/>
  <cols>
    <col min="1" max="1" width="3.21875" customWidth="1"/>
    <col min="2" max="2" width="10" customWidth="1"/>
    <col min="3" max="3" width="16" customWidth="1"/>
    <col min="4" max="4" width="19" bestFit="1" customWidth="1"/>
    <col min="5" max="5" width="5.21875" customWidth="1"/>
    <col min="6" max="6" width="18.21875" bestFit="1" customWidth="1"/>
  </cols>
  <sheetData>
    <row r="2" spans="2:12" ht="41.25" customHeight="1" thickBot="1" x14ac:dyDescent="0.3">
      <c r="C2" s="9" t="s">
        <v>22</v>
      </c>
      <c r="D2" s="12" t="s">
        <v>23</v>
      </c>
    </row>
    <row r="3" spans="2:12" ht="13.95" customHeight="1" x14ac:dyDescent="0.25">
      <c r="B3" s="8" t="s">
        <v>24</v>
      </c>
      <c r="C3" s="10" t="s">
        <v>20</v>
      </c>
      <c r="D3" s="5" t="s">
        <v>21</v>
      </c>
      <c r="F3" s="11" t="s">
        <v>19</v>
      </c>
      <c r="H3" s="19"/>
      <c r="I3" s="19"/>
      <c r="J3" s="19"/>
      <c r="K3" s="19"/>
      <c r="L3" s="19"/>
    </row>
    <row r="4" spans="2:12" x14ac:dyDescent="0.25">
      <c r="B4" s="6"/>
      <c r="C4" s="6" t="str">
        <f>INDEX('INDEX MATCH Master Emp List'!A1:I38,2,2)</f>
        <v>Virat</v>
      </c>
      <c r="D4" s="6"/>
      <c r="F4" s="7"/>
      <c r="H4" s="19"/>
      <c r="I4" s="19"/>
      <c r="J4" s="19"/>
      <c r="K4" s="19"/>
      <c r="L4" s="19"/>
    </row>
    <row r="5" spans="2:12" x14ac:dyDescent="0.25">
      <c r="B5" s="6"/>
      <c r="C5" s="6"/>
      <c r="D5" s="6"/>
      <c r="F5" s="7"/>
      <c r="H5" s="19"/>
      <c r="I5" s="19"/>
      <c r="J5" s="19"/>
      <c r="K5" s="19"/>
      <c r="L5" s="19"/>
    </row>
    <row r="6" spans="2:12" x14ac:dyDescent="0.25">
      <c r="B6" s="6"/>
      <c r="C6" s="6"/>
      <c r="D6" s="6"/>
      <c r="F6" s="7"/>
      <c r="H6" s="19"/>
      <c r="I6" s="19"/>
      <c r="J6" s="19"/>
      <c r="K6" s="19"/>
      <c r="L6" s="19"/>
    </row>
    <row r="7" spans="2:12" x14ac:dyDescent="0.25">
      <c r="B7" s="6"/>
      <c r="C7" s="6">
        <f>INDEX('INDEX MATCH Master Emp List'!A1:I38,4,6)</f>
        <v>123</v>
      </c>
      <c r="D7" s="6"/>
      <c r="F7" s="7"/>
    </row>
    <row r="8" spans="2:12" x14ac:dyDescent="0.25">
      <c r="B8" s="6"/>
      <c r="C8" s="6"/>
      <c r="D8" s="6"/>
      <c r="F8" s="7"/>
    </row>
    <row r="9" spans="2:12" x14ac:dyDescent="0.25">
      <c r="B9" s="6"/>
      <c r="C9" s="6"/>
      <c r="D9" s="6"/>
      <c r="F9" s="7"/>
    </row>
    <row r="12" spans="2:12" x14ac:dyDescent="0.25">
      <c r="B12" s="20"/>
      <c r="C12" s="20"/>
      <c r="D12" s="20"/>
      <c r="E12" s="20"/>
      <c r="F12" s="20"/>
    </row>
    <row r="14" spans="2:12" x14ac:dyDescent="0.25">
      <c r="B14" s="20"/>
      <c r="C14" s="20"/>
      <c r="D14" s="20"/>
      <c r="E14" s="20"/>
      <c r="F14" s="20"/>
    </row>
  </sheetData>
  <mergeCells count="3">
    <mergeCell ref="H3:L6"/>
    <mergeCell ref="B12:F12"/>
    <mergeCell ref="B14:F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CAB1-FE0C-4143-8225-92231CE6F4AF}">
  <dimension ref="B2:F15"/>
  <sheetViews>
    <sheetView topLeftCell="A3" zoomScale="130" zoomScaleNormal="130" workbookViewId="0">
      <selection activeCell="E14" sqref="E14"/>
    </sheetView>
  </sheetViews>
  <sheetFormatPr defaultRowHeight="13.2" x14ac:dyDescent="0.25"/>
  <cols>
    <col min="1" max="1" width="3.21875" customWidth="1"/>
    <col min="2" max="2" width="10" customWidth="1"/>
    <col min="3" max="3" width="16" customWidth="1"/>
    <col min="4" max="4" width="19" bestFit="1" customWidth="1"/>
    <col min="5" max="5" width="5.21875" customWidth="1"/>
    <col min="6" max="6" width="18.21875" bestFit="1" customWidth="1"/>
  </cols>
  <sheetData>
    <row r="2" spans="2:6" ht="41.25" customHeight="1" thickBot="1" x14ac:dyDescent="0.3">
      <c r="C2" s="9" t="s">
        <v>22</v>
      </c>
      <c r="D2" s="12" t="s">
        <v>23</v>
      </c>
    </row>
    <row r="3" spans="2:6" ht="13.8" x14ac:dyDescent="0.25">
      <c r="B3" s="8" t="s">
        <v>24</v>
      </c>
      <c r="C3" s="10" t="s">
        <v>20</v>
      </c>
      <c r="D3" s="5" t="s">
        <v>21</v>
      </c>
      <c r="F3" s="11" t="s">
        <v>19</v>
      </c>
    </row>
    <row r="4" spans="2:6" x14ac:dyDescent="0.25">
      <c r="B4" s="6">
        <v>1054</v>
      </c>
      <c r="C4" s="6"/>
      <c r="D4" s="6">
        <f>MATCH(B4,'INDEX MATCH Master Emp List'!$D$2:$D$38,0)</f>
        <v>1</v>
      </c>
      <c r="F4" s="7"/>
    </row>
    <row r="5" spans="2:6" x14ac:dyDescent="0.25">
      <c r="B5" s="6">
        <v>1078</v>
      </c>
      <c r="C5" s="6"/>
      <c r="D5" s="6"/>
      <c r="F5" s="7"/>
    </row>
    <row r="6" spans="2:6" x14ac:dyDescent="0.25">
      <c r="B6" s="6">
        <v>1284</v>
      </c>
      <c r="C6" s="6"/>
      <c r="D6" s="6"/>
      <c r="F6" s="7"/>
    </row>
    <row r="7" spans="2:6" x14ac:dyDescent="0.25">
      <c r="B7" s="6">
        <v>1299</v>
      </c>
      <c r="C7" s="6"/>
      <c r="D7" s="6"/>
      <c r="F7" s="7"/>
    </row>
    <row r="8" spans="2:6" x14ac:dyDescent="0.25">
      <c r="B8" s="6">
        <v>1329</v>
      </c>
      <c r="C8" s="6"/>
      <c r="D8" s="6"/>
      <c r="F8" s="7"/>
    </row>
    <row r="9" spans="2:6" x14ac:dyDescent="0.25">
      <c r="B9" s="6">
        <v>1509</v>
      </c>
      <c r="C9" s="6"/>
      <c r="D9" s="6"/>
      <c r="F9" s="7"/>
    </row>
    <row r="11" spans="2:6" x14ac:dyDescent="0.25">
      <c r="B11" s="20"/>
      <c r="C11" s="20"/>
      <c r="D11" s="20"/>
      <c r="E11" s="20"/>
      <c r="F11" s="20"/>
    </row>
    <row r="13" spans="2:6" x14ac:dyDescent="0.25">
      <c r="B13" s="20"/>
      <c r="C13" s="20"/>
      <c r="D13" s="20"/>
      <c r="E13" s="20"/>
      <c r="F13" s="20"/>
    </row>
    <row r="15" spans="2:6" x14ac:dyDescent="0.25">
      <c r="B15" s="20"/>
      <c r="C15" s="20"/>
      <c r="D15" s="20"/>
      <c r="E15" s="20"/>
      <c r="F15" s="20"/>
    </row>
  </sheetData>
  <mergeCells count="3">
    <mergeCell ref="B11:F11"/>
    <mergeCell ref="B13:F13"/>
    <mergeCell ref="B15:F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A3A4-4812-4641-9642-D32B0B71E497}">
  <dimension ref="B2:L23"/>
  <sheetViews>
    <sheetView topLeftCell="A2" zoomScale="130" zoomScaleNormal="130" workbookViewId="0">
      <selection activeCell="I17" sqref="I17"/>
    </sheetView>
  </sheetViews>
  <sheetFormatPr defaultRowHeight="13.2" x14ac:dyDescent="0.25"/>
  <cols>
    <col min="1" max="1" width="3.21875" customWidth="1"/>
    <col min="2" max="2" width="10" customWidth="1"/>
    <col min="3" max="3" width="16" customWidth="1"/>
    <col min="4" max="4" width="19" bestFit="1" customWidth="1"/>
    <col min="5" max="5" width="5.21875" customWidth="1"/>
    <col min="6" max="6" width="18.21875" bestFit="1" customWidth="1"/>
  </cols>
  <sheetData>
    <row r="2" spans="2:12" ht="41.25" customHeight="1" thickBot="1" x14ac:dyDescent="0.3">
      <c r="C2" s="9" t="s">
        <v>22</v>
      </c>
      <c r="D2" s="12" t="s">
        <v>23</v>
      </c>
    </row>
    <row r="3" spans="2:12" ht="13.8" x14ac:dyDescent="0.25">
      <c r="B3" s="8" t="s">
        <v>24</v>
      </c>
      <c r="C3" s="10" t="s">
        <v>20</v>
      </c>
      <c r="D3" s="5" t="s">
        <v>21</v>
      </c>
      <c r="F3" s="11" t="s">
        <v>19</v>
      </c>
      <c r="H3" s="22"/>
      <c r="I3" s="23"/>
      <c r="J3" s="23"/>
      <c r="K3" s="23"/>
      <c r="L3" s="23"/>
    </row>
    <row r="4" spans="2:12" x14ac:dyDescent="0.25">
      <c r="B4" s="6">
        <v>1054</v>
      </c>
      <c r="C4" s="6"/>
      <c r="D4" s="6"/>
      <c r="F4" s="7" t="str">
        <f>INDEX('INDEX MATCH Master Emp List'!$C$1:$C$38,MATCH(B4,'INDEX MATCH Master Emp List'!$D$1:$D$38,0))</f>
        <v>AT</v>
      </c>
      <c r="H4" s="23"/>
      <c r="I4" s="23"/>
      <c r="J4" s="23"/>
      <c r="K4" s="23"/>
      <c r="L4" s="23"/>
    </row>
    <row r="5" spans="2:12" x14ac:dyDescent="0.25">
      <c r="B5" s="6">
        <v>1078</v>
      </c>
      <c r="C5" s="6"/>
      <c r="D5" s="6"/>
      <c r="F5" s="7"/>
      <c r="H5" s="21"/>
      <c r="I5" s="21"/>
      <c r="J5" s="21"/>
      <c r="K5" s="21"/>
      <c r="L5" s="21"/>
    </row>
    <row r="6" spans="2:12" x14ac:dyDescent="0.25">
      <c r="B6" s="6">
        <v>1284</v>
      </c>
      <c r="C6" s="6"/>
      <c r="D6" s="6"/>
      <c r="F6" s="7"/>
      <c r="H6" s="21"/>
      <c r="I6" s="21"/>
      <c r="J6" s="21"/>
      <c r="K6" s="21"/>
      <c r="L6" s="21"/>
    </row>
    <row r="7" spans="2:12" x14ac:dyDescent="0.25">
      <c r="B7" s="6">
        <v>1299</v>
      </c>
      <c r="C7" s="6"/>
      <c r="D7" s="6"/>
      <c r="F7" s="7"/>
      <c r="H7" s="21"/>
      <c r="I7" s="21"/>
      <c r="J7" s="21"/>
      <c r="K7" s="21"/>
      <c r="L7" s="21"/>
    </row>
    <row r="8" spans="2:12" x14ac:dyDescent="0.25">
      <c r="B8" s="6">
        <v>1329</v>
      </c>
      <c r="C8" s="6"/>
      <c r="D8" s="6"/>
      <c r="F8" s="7"/>
      <c r="H8" s="21"/>
      <c r="I8" s="21"/>
      <c r="J8" s="21"/>
      <c r="K8" s="21"/>
      <c r="L8" s="21"/>
    </row>
    <row r="9" spans="2:12" ht="12.45" customHeight="1" x14ac:dyDescent="0.25">
      <c r="B9" s="6">
        <v>1509</v>
      </c>
      <c r="C9" s="6"/>
      <c r="D9" s="6"/>
      <c r="F9" s="7"/>
    </row>
    <row r="10" spans="2:12" x14ac:dyDescent="0.25">
      <c r="H10" s="22"/>
      <c r="I10" s="23"/>
      <c r="J10" s="23"/>
      <c r="K10" s="23"/>
      <c r="L10" s="23"/>
    </row>
    <row r="11" spans="2:12" x14ac:dyDescent="0.25">
      <c r="B11" s="20"/>
      <c r="C11" s="20"/>
      <c r="D11" s="20"/>
      <c r="E11" s="20"/>
      <c r="F11" s="20"/>
      <c r="H11" s="23"/>
      <c r="I11" s="23"/>
      <c r="J11" s="23"/>
      <c r="K11" s="23"/>
      <c r="L11" s="23"/>
    </row>
    <row r="13" spans="2:12" x14ac:dyDescent="0.25">
      <c r="B13" s="24"/>
      <c r="C13" s="22"/>
      <c r="D13" s="22"/>
      <c r="E13" s="22"/>
      <c r="F13" s="22"/>
    </row>
    <row r="14" spans="2:12" x14ac:dyDescent="0.25">
      <c r="B14" s="22"/>
      <c r="C14" s="22"/>
      <c r="D14" s="22"/>
      <c r="E14" s="22"/>
      <c r="F14" s="22"/>
    </row>
    <row r="15" spans="2:12" x14ac:dyDescent="0.25">
      <c r="B15" s="20"/>
      <c r="C15" s="20"/>
      <c r="D15" s="20"/>
      <c r="E15" s="20"/>
      <c r="F15" s="20"/>
    </row>
    <row r="16" spans="2:12" ht="12.45" customHeight="1" x14ac:dyDescent="0.25">
      <c r="B16" s="24"/>
      <c r="C16" s="24"/>
      <c r="D16" s="24"/>
      <c r="E16" s="24"/>
      <c r="F16" s="24"/>
    </row>
    <row r="17" spans="2:6" x14ac:dyDescent="0.25">
      <c r="B17" s="18"/>
      <c r="C17" s="18"/>
      <c r="D17" s="18"/>
      <c r="E17" s="18"/>
      <c r="F17" s="18"/>
    </row>
    <row r="18" spans="2:6" x14ac:dyDescent="0.25">
      <c r="B18" s="25"/>
      <c r="C18" s="25"/>
      <c r="D18" s="25"/>
      <c r="E18" s="25"/>
      <c r="F18" s="25"/>
    </row>
    <row r="20" spans="2:6" x14ac:dyDescent="0.25">
      <c r="B20" s="25"/>
      <c r="C20" s="25"/>
      <c r="D20" s="25"/>
      <c r="E20" s="25"/>
      <c r="F20" s="25"/>
    </row>
    <row r="23" spans="2:6" x14ac:dyDescent="0.25">
      <c r="B23" s="25"/>
      <c r="C23" s="25"/>
      <c r="D23" s="25"/>
      <c r="E23" s="25"/>
      <c r="F23" s="25"/>
    </row>
  </sheetData>
  <mergeCells count="10">
    <mergeCell ref="B18:F18"/>
    <mergeCell ref="B20:F20"/>
    <mergeCell ref="B23:F23"/>
    <mergeCell ref="B11:F11"/>
    <mergeCell ref="B15:F15"/>
    <mergeCell ref="H5:L8"/>
    <mergeCell ref="H3:L4"/>
    <mergeCell ref="H10:L11"/>
    <mergeCell ref="B13:F14"/>
    <mergeCell ref="B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MATCH Master Emp List</vt:lpstr>
      <vt:lpstr>INDEX Functions</vt:lpstr>
      <vt:lpstr>MATCH Functions</vt:lpstr>
      <vt:lpstr>Combined INDEX MATCH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Puneet Kansal</cp:lastModifiedBy>
  <cp:lastPrinted>2016-02-22T19:48:39Z</cp:lastPrinted>
  <dcterms:created xsi:type="dcterms:W3CDTF">2001-09-07T21:10:35Z</dcterms:created>
  <dcterms:modified xsi:type="dcterms:W3CDTF">2026-01-12T09:25:59Z</dcterms:modified>
</cp:coreProperties>
</file>